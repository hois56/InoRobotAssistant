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6646d0fc390357/Desktop/made_C^N/InoRobotAssistant/InoRobotToolSelect/"/>
    </mc:Choice>
  </mc:AlternateContent>
  <xr:revisionPtr revIDLastSave="370" documentId="8_{FF835628-69DC-46F0-AE7A-65F4E0A80BB1}" xr6:coauthVersionLast="47" xr6:coauthVersionMax="47" xr10:uidLastSave="{00198489-DA1B-4D32-A56D-F7BA10711283}"/>
  <bookViews>
    <workbookView xWindow="-120" yWindow="-120" windowWidth="29040" windowHeight="15720" activeTab="3" xr2:uid="{00000000-000D-0000-FFFF-FFFF00000000}"/>
  </bookViews>
  <sheets>
    <sheet name="로봇 Tool 부하 선정" sheetId="1" r:id="rId1"/>
    <sheet name="무게,관성 계산" sheetId="2" r:id="rId2"/>
    <sheet name="로봇 스펙" sheetId="3" r:id="rId3"/>
    <sheet name="로봇 스펙 (SCARA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 a="1"/>
  <c r="C17" i="1" s="1"/>
  <c r="C25" i="1"/>
  <c r="C30" i="1" s="1"/>
  <c r="F11" i="2"/>
  <c r="E28" i="2" s="1"/>
  <c r="F12" i="2"/>
  <c r="E29" i="2" s="1"/>
  <c r="F10" i="2"/>
  <c r="D27" i="2" s="1"/>
  <c r="F9" i="2"/>
  <c r="C26" i="2" s="1"/>
  <c r="F8" i="2"/>
  <c r="C24" i="1"/>
  <c r="C27" i="1" s="1"/>
  <c r="D26" i="2" l="1"/>
  <c r="D28" i="2"/>
  <c r="C28" i="2"/>
  <c r="F30" i="1"/>
  <c r="F27" i="1"/>
  <c r="C29" i="1"/>
  <c r="F29" i="1" s="1"/>
  <c r="E27" i="1"/>
  <c r="C28" i="1"/>
  <c r="F13" i="2"/>
  <c r="C22" i="2" s="1"/>
  <c r="E26" i="2"/>
  <c r="C27" i="2"/>
  <c r="D25" i="2"/>
  <c r="D29" i="2"/>
  <c r="C29" i="2"/>
  <c r="E27" i="2"/>
  <c r="C25" i="2"/>
  <c r="E25" i="2"/>
  <c r="E30" i="1"/>
  <c r="E21" i="2" l="1"/>
  <c r="G8" i="1" s="1"/>
  <c r="D22" i="2"/>
  <c r="E31" i="2" s="1"/>
  <c r="C21" i="2"/>
  <c r="G10" i="1" s="1"/>
  <c r="G7" i="1"/>
  <c r="D21" i="2"/>
  <c r="G9" i="1" s="1"/>
  <c r="E22" i="2"/>
  <c r="D31" i="2" s="1"/>
  <c r="E29" i="1"/>
  <c r="E28" i="1"/>
  <c r="F28" i="1"/>
  <c r="D30" i="2" l="1"/>
  <c r="G12" i="1" s="1"/>
  <c r="C30" i="2"/>
  <c r="G11" i="1" s="1"/>
  <c r="C31" i="2"/>
  <c r="E30" i="2"/>
  <c r="G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<sst xmlns="http://schemas.openxmlformats.org/spreadsheetml/2006/main" count="143" uniqueCount="112">
  <si>
    <t>항목</t>
  </si>
  <si>
    <t>단위</t>
  </si>
  <si>
    <t>판정/비고</t>
  </si>
  <si>
    <t>[1. 기본 설정]</t>
  </si>
  <si>
    <t>중력가속도 (g)</t>
  </si>
  <si>
    <t>m/s²</t>
  </si>
  <si>
    <t>계산 기준값</t>
  </si>
  <si>
    <t>[2. 부하 정보 입력]</t>
  </si>
  <si>
    <t>부하 질량 (M)</t>
  </si>
  <si>
    <t>kg</t>
  </si>
  <si>
    <t>사용자 입력</t>
  </si>
  <si>
    <t>mm</t>
  </si>
  <si>
    <t>kgm²</t>
  </si>
  <si>
    <t>허용 질량</t>
  </si>
  <si>
    <t>N·m</t>
  </si>
  <si>
    <t>[4. 계산 및 판정 결과]</t>
  </si>
  <si>
    <t>판정(OK/NG)</t>
  </si>
  <si>
    <t>m</t>
  </si>
  <si>
    <t>관성모멘트 Ixx</t>
    <phoneticPr fontId="3" type="noConversion"/>
  </si>
  <si>
    <t>관성모멘트 Iyy</t>
    <phoneticPr fontId="3" type="noConversion"/>
  </si>
  <si>
    <t>관성모멘트 Izz</t>
    <phoneticPr fontId="3" type="noConversion"/>
  </si>
  <si>
    <t>Ly (b (부하 중심)</t>
    <phoneticPr fontId="3" type="noConversion"/>
  </si>
  <si>
    <t>허용 토크 (5축)</t>
    <phoneticPr fontId="3" type="noConversion"/>
  </si>
  <si>
    <t>허용 토크 (6축)</t>
    <phoneticPr fontId="3" type="noConversion"/>
  </si>
  <si>
    <t>허용 관성 (5축)</t>
    <phoneticPr fontId="3" type="noConversion"/>
  </si>
  <si>
    <t>허용 관성 (6축)</t>
    <phoneticPr fontId="3" type="noConversion"/>
  </si>
  <si>
    <t>계산 토크 (J5)</t>
    <phoneticPr fontId="3" type="noConversion"/>
  </si>
  <si>
    <t>계산 토크 (J6)</t>
    <phoneticPr fontId="3" type="noConversion"/>
  </si>
  <si>
    <t xml:space="preserve">계산 관성 (J5) </t>
    <phoneticPr fontId="3" type="noConversion"/>
  </si>
  <si>
    <t>계산 관성 (J6)</t>
    <phoneticPr fontId="3" type="noConversion"/>
  </si>
  <si>
    <t>부하 재료 밀도</t>
    <phoneticPr fontId="3" type="noConversion"/>
  </si>
  <si>
    <t>g/cm³</t>
    <phoneticPr fontId="3" type="noConversion"/>
  </si>
  <si>
    <t>로봇 Tool 부하 선정</t>
    <phoneticPr fontId="3" type="noConversion"/>
  </si>
  <si>
    <t>값</t>
    <phoneticPr fontId="3" type="noConversion"/>
  </si>
  <si>
    <t>알루미늄 : 0.27</t>
    <phoneticPr fontId="3" type="noConversion"/>
  </si>
  <si>
    <t>블록 1 치수</t>
    <phoneticPr fontId="3" type="noConversion"/>
  </si>
  <si>
    <t>Y</t>
    <phoneticPr fontId="3" type="noConversion"/>
  </si>
  <si>
    <t>Z</t>
    <phoneticPr fontId="3" type="noConversion"/>
  </si>
  <si>
    <t>X</t>
    <phoneticPr fontId="3" type="noConversion"/>
  </si>
  <si>
    <t>블록 2 치수</t>
    <phoneticPr fontId="3" type="noConversion"/>
  </si>
  <si>
    <t>블록 3 치수</t>
    <phoneticPr fontId="3" type="noConversion"/>
  </si>
  <si>
    <t>블록 4 치수</t>
    <phoneticPr fontId="3" type="noConversion"/>
  </si>
  <si>
    <t>블록 5 치수</t>
    <phoneticPr fontId="3" type="noConversion"/>
  </si>
  <si>
    <t>kg</t>
    <phoneticPr fontId="3" type="noConversion"/>
  </si>
  <si>
    <t>Tool 질량, 관성모멘트 계산</t>
    <phoneticPr fontId="3" type="noConversion"/>
  </si>
  <si>
    <t>블록 1 무게 중심</t>
    <phoneticPr fontId="3" type="noConversion"/>
  </si>
  <si>
    <t>블록 2 무게 중심</t>
    <phoneticPr fontId="3" type="noConversion"/>
  </si>
  <si>
    <t>블록 3 무게 중심</t>
    <phoneticPr fontId="3" type="noConversion"/>
  </si>
  <si>
    <t>블록 4 무게 중심</t>
    <phoneticPr fontId="3" type="noConversion"/>
  </si>
  <si>
    <t>블록 5 무게 중심</t>
    <phoneticPr fontId="3" type="noConversion"/>
  </si>
  <si>
    <t>단위 : mm</t>
    <phoneticPr fontId="3" type="noConversion"/>
  </si>
  <si>
    <t>전체 부하 질량</t>
    <phoneticPr fontId="3" type="noConversion"/>
  </si>
  <si>
    <t>질량 (kg)</t>
    <phoneticPr fontId="3" type="noConversion"/>
  </si>
  <si>
    <t>J5 거리</t>
    <phoneticPr fontId="3" type="noConversion"/>
  </si>
  <si>
    <t>블록 1 관성모멘트</t>
    <phoneticPr fontId="3" type="noConversion"/>
  </si>
  <si>
    <t>블록 2 관성모멘트</t>
    <phoneticPr fontId="3" type="noConversion"/>
  </si>
  <si>
    <t>블록 3 관성모멘트</t>
    <phoneticPr fontId="3" type="noConversion"/>
  </si>
  <si>
    <t>블록 4 관성모멘트</t>
    <phoneticPr fontId="3" type="noConversion"/>
  </si>
  <si>
    <t>블록 5 관성모멘트</t>
    <phoneticPr fontId="3" type="noConversion"/>
  </si>
  <si>
    <t>단위 : kgm2</t>
    <phoneticPr fontId="3" type="noConversion"/>
  </si>
  <si>
    <t>Ixx</t>
    <phoneticPr fontId="3" type="noConversion"/>
  </si>
  <si>
    <t>Iyy</t>
    <phoneticPr fontId="3" type="noConversion"/>
  </si>
  <si>
    <t>Izz</t>
    <phoneticPr fontId="3" type="noConversion"/>
  </si>
  <si>
    <t>사용자 입력 (Tool coord)</t>
    <phoneticPr fontId="3" type="noConversion"/>
  </si>
  <si>
    <t>계산값</t>
    <phoneticPr fontId="3" type="noConversion"/>
  </si>
  <si>
    <t>Lz (J5 + a (부하 중심)</t>
    <phoneticPr fontId="3" type="noConversion"/>
  </si>
  <si>
    <t>Lx (끝단 - 부하 중심 X)</t>
    <phoneticPr fontId="3" type="noConversion"/>
  </si>
  <si>
    <t>거리 Lz (J5)</t>
    <phoneticPr fontId="3" type="noConversion"/>
  </si>
  <si>
    <t>거리 Lx (J6)</t>
    <phoneticPr fontId="3" type="noConversion"/>
  </si>
  <si>
    <t>형번</t>
    <phoneticPr fontId="3" type="noConversion"/>
  </si>
  <si>
    <t>J5 허용 토크</t>
    <phoneticPr fontId="3" type="noConversion"/>
  </si>
  <si>
    <t>J6 허용 토크</t>
    <phoneticPr fontId="3" type="noConversion"/>
  </si>
  <si>
    <t>J5 허용 관성모멘트</t>
    <phoneticPr fontId="3" type="noConversion"/>
  </si>
  <si>
    <t>J6 허용 관성모멘트</t>
    <phoneticPr fontId="3" type="noConversion"/>
  </si>
  <si>
    <t>R4</t>
    <phoneticPr fontId="3" type="noConversion"/>
  </si>
  <si>
    <t>R4H</t>
    <phoneticPr fontId="3" type="noConversion"/>
  </si>
  <si>
    <t>R7H</t>
    <phoneticPr fontId="3" type="noConversion"/>
  </si>
  <si>
    <t>R10-110</t>
    <phoneticPr fontId="3" type="noConversion"/>
  </si>
  <si>
    <t>R10-140</t>
    <phoneticPr fontId="3" type="noConversion"/>
  </si>
  <si>
    <t>R10H</t>
    <phoneticPr fontId="3" type="noConversion"/>
  </si>
  <si>
    <t>R11</t>
    <phoneticPr fontId="3" type="noConversion"/>
  </si>
  <si>
    <t>R15H</t>
    <phoneticPr fontId="3" type="noConversion"/>
  </si>
  <si>
    <t>R16</t>
    <phoneticPr fontId="3" type="noConversion"/>
  </si>
  <si>
    <t>R20H</t>
    <phoneticPr fontId="3" type="noConversion"/>
  </si>
  <si>
    <t>R25</t>
    <phoneticPr fontId="3" type="noConversion"/>
  </si>
  <si>
    <t xml:space="preserve">모델 선택 </t>
    <phoneticPr fontId="3" type="noConversion"/>
  </si>
  <si>
    <t>[3. 로봇 사양]</t>
    <phoneticPr fontId="3" type="noConversion"/>
  </si>
  <si>
    <t>최대 부하</t>
    <phoneticPr fontId="3" type="noConversion"/>
  </si>
  <si>
    <t>전체 부하 무게 중심 (J5)</t>
    <phoneticPr fontId="3" type="noConversion"/>
  </si>
  <si>
    <t>전체 부하 무게 중심 (부하)</t>
    <phoneticPr fontId="3" type="noConversion"/>
  </si>
  <si>
    <t>전체 부하 관성모멘트 (J5)</t>
    <phoneticPr fontId="3" type="noConversion"/>
  </si>
  <si>
    <t>전체 부하 관성모멘트 (부하)</t>
    <phoneticPr fontId="3" type="noConversion"/>
  </si>
  <si>
    <t>로봇 선정</t>
    <phoneticPr fontId="3" type="noConversion"/>
  </si>
  <si>
    <t>Tool 설정</t>
    <phoneticPr fontId="3" type="noConversion"/>
  </si>
  <si>
    <t>[2. 부하 치수 입력] Tool 좌표계 방향과 동일 (우측 그림 참조)</t>
    <phoneticPr fontId="3" type="noConversion"/>
  </si>
  <si>
    <t xml:space="preserve">[3. 부하 무게 중심 입력] </t>
    <phoneticPr fontId="3" type="noConversion"/>
  </si>
  <si>
    <t>[4. 부하 별 관성모멘트]</t>
    <phoneticPr fontId="3" type="noConversion"/>
  </si>
  <si>
    <t>리스트 중 선택</t>
    <phoneticPr fontId="3" type="noConversion"/>
  </si>
  <si>
    <t>R25</t>
  </si>
  <si>
    <t>철 : 7.87</t>
    <phoneticPr fontId="3" type="noConversion"/>
  </si>
  <si>
    <t>J5 끝단 거리</t>
    <phoneticPr fontId="3" type="noConversion"/>
  </si>
  <si>
    <t>정격 부하</t>
    <phoneticPr fontId="3" type="noConversion"/>
  </si>
  <si>
    <t>J4 정격 관성</t>
    <phoneticPr fontId="3" type="noConversion"/>
  </si>
  <si>
    <t>J4 최대 관성</t>
    <phoneticPr fontId="3" type="noConversion"/>
  </si>
  <si>
    <t>S4</t>
    <phoneticPr fontId="3" type="noConversion"/>
  </si>
  <si>
    <t>S7</t>
    <phoneticPr fontId="3" type="noConversion"/>
  </si>
  <si>
    <t>S10</t>
    <phoneticPr fontId="3" type="noConversion"/>
  </si>
  <si>
    <t>S25</t>
    <phoneticPr fontId="3" type="noConversion"/>
  </si>
  <si>
    <t>S35</t>
    <phoneticPr fontId="3" type="noConversion"/>
  </si>
  <si>
    <t>S60</t>
    <phoneticPr fontId="3" type="noConversion"/>
  </si>
  <si>
    <t>TS4</t>
    <phoneticPr fontId="3" type="noConversion"/>
  </si>
  <si>
    <t>TS5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</si>
</sst>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1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rgb="FFDDDDDD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/>
    </xf>
    <xf numFmtId="0" fontId="0" fillId="0" borderId="0" xfId="0" quotePrefix="1"/>
    <xf numFmtId="176" fontId="0" fillId="5" borderId="0" xfId="0" applyNumberFormat="1" applyFill="1" applyAlignment="1">
      <alignment horizontal="center"/>
    </xf>
    <xf numFmtId="0" fontId="8" fillId="3" borderId="0" xfId="0" applyFont="1" applyFill="1"/>
    <xf numFmtId="176" fontId="0" fillId="7" borderId="0" xfId="0" applyNumberFormat="1" applyFill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197094</xdr:colOff>
      <xdr:row>9</xdr:row>
      <xdr:rowOff>104775</xdr:rowOff>
    </xdr:from>
    <xdr:to>
      <xdr:col>15</xdr:col>
      <xdr:colOff>457157</xdr:colOff>
      <xdr:row>29</xdr:row>
      <xdr:rowOff>79337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F296CE-637A-7882-F297-16C697C48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7344" y="2068390"/>
          <a:ext cx="5769909" cy="4255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95249</xdr:colOff>
      <xdr:row>13</xdr:row>
      <xdr:rowOff>38099</xdr:rowOff>
    </xdr:from>
    <xdr:to>
      <xdr:col>9</xdr:col>
      <xdr:colOff>114300</xdr:colOff>
      <xdr:row>20</xdr:row>
      <xdr:rowOff>186233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3656870-BCE2-4A81-9165-EEB28BF8E6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504" t="50533" r="4915"/>
        <a:stretch>
          <a:fillRect/>
        </a:stretch>
      </xdr:blipFill>
      <xdr:spPr>
        <a:xfrm>
          <a:off x="5638799" y="2809874"/>
          <a:ext cx="2076451" cy="1613079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21</xdr:row>
      <xdr:rowOff>85586</xdr:rowOff>
    </xdr:from>
    <xdr:to>
      <xdr:col>13</xdr:col>
      <xdr:colOff>339090</xdr:colOff>
      <xdr:row>30</xdr:row>
      <xdr:rowOff>109766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FC9CC9-CBA6-B63D-2629-771EFF8F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24525" y="4533761"/>
          <a:ext cx="4953000" cy="189679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5</xdr:col>
      <xdr:colOff>619125</xdr:colOff>
      <xdr:row>14</xdr:row>
      <xdr:rowOff>0</xdr:rowOff>
    </xdr:from>
    <xdr:to>
      <xdr:col>6</xdr:col>
      <xdr:colOff>638175</xdr:colOff>
      <xdr:row>14</xdr:row>
      <xdr:rowOff>95250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B5D1526A-6D33-14CC-E45B-BFCB79959DCF}"/>
            </a:ext>
          </a:extLst>
        </xdr:cNvPr>
        <xdr:cNvCxnSpPr/>
      </xdr:nvCxnSpPr>
      <xdr:spPr>
        <a:xfrm flipV="1">
          <a:off x="5391150" y="2981325"/>
          <a:ext cx="790575" cy="95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87902</xdr:colOff>
      <xdr:row>38</xdr:row>
      <xdr:rowOff>115662</xdr:rowOff>
    </xdr:from>
    <xdr:to>
      <xdr:col>10</xdr:col>
      <xdr:colOff>545368</xdr:colOff>
      <xdr:row>53</xdr:row>
      <xdr:rowOff>172670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7C558ED-92AF-2A2D-5270-4CA1AA51C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262" y="8269062"/>
          <a:ext cx="8746665" cy="3254687"/>
        </a:xfrm>
        <a:prstGeom prst="rect">
          <a:avLst/>
        </a:prstGeom>
      </xdr:spPr>
    </xdr:pic>
    <xdr:clientData/>
  </xdr:twoCellAnchor>
  <xdr:twoCellAnchor editAs="oneCell">
    <xdr:from>
      <xdr:col>11</xdr:col>
      <xdr:colOff>217715</xdr:colOff>
      <xdr:row>32</xdr:row>
      <xdr:rowOff>43543</xdr:rowOff>
    </xdr:from>
    <xdr:to>
      <xdr:col>15</xdr:col>
      <xdr:colOff>288665</xdr:colOff>
      <xdr:row>59</xdr:row>
      <xdr:rowOff>62944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ACEE312-18D4-829B-293F-14F760818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7029" y="7053943"/>
          <a:ext cx="2811429" cy="5899048"/>
        </a:xfrm>
        <a:prstGeom prst="rect">
          <a:avLst/>
        </a:prstGeom>
      </xdr:spPr>
    </xdr:pic>
    <xdr:clientData/>
  </xdr:twoCellAnchor>
  <xdr:twoCellAnchor>
    <xdr:from>
      <xdr:col>4</xdr:col>
      <xdr:colOff>771525</xdr:colOff>
      <xdr:row>11</xdr:row>
      <xdr:rowOff>66675</xdr:rowOff>
    </xdr:from>
    <xdr:to>
      <xdr:col>5</xdr:col>
      <xdr:colOff>238125</xdr:colOff>
      <xdr:row>16</xdr:row>
      <xdr:rowOff>95250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CC3A3ACA-2E64-3AD8-0C46-4F516DB59356}"/>
            </a:ext>
          </a:extLst>
        </xdr:cNvPr>
        <xdr:cNvCxnSpPr/>
      </xdr:nvCxnSpPr>
      <xdr:spPr>
        <a:xfrm>
          <a:off x="4657725" y="2419350"/>
          <a:ext cx="561975" cy="1076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616194</xdr:colOff>
      <xdr:row>0</xdr:row>
      <xdr:rowOff>7327</xdr:rowOff>
    </xdr:from>
    <xdr:to>
      <xdr:col>13</xdr:col>
      <xdr:colOff>577534</xdr:colOff>
      <xdr:row>18</xdr:row>
      <xdr:rowOff>186621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531F5674-A42F-BC84-69D8-1925437CE4E5}"/>
            </a:ext>
          </a:extLst>
        </xdr:cNvPr>
        <xdr:cNvGrpSpPr/>
      </xdr:nvGrpSpPr>
      <xdr:grpSpPr>
        <a:xfrm>
          <a:off x="6375156" y="7327"/>
          <a:ext cx="4782455" cy="4047909"/>
          <a:chOff x="1123950" y="866417"/>
          <a:chExt cx="6315458" cy="5125165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pic>
        <xdr:nvPicPr>
          <xdr:cNvPr id="7" name="그림 6" descr="공구, 장난감, 만화 영화이(가) 표시된 사진&#10;&#10;AI 생성 콘텐츠는 정확하지 않을 수 있습니다.">
            <a:extLst>
              <a:ext uri="{FF2B5EF4-FFF2-40B4-BE49-F238E27FC236}">
                <a16:creationId xmlns:a16="http://schemas.microsoft.com/office/drawing/2014/main" id="{891893A3-7834-010E-6FF9-8C2BA99C23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76458">
            <a:off x="1952242" y="866417"/>
            <a:ext cx="5487166" cy="5125165"/>
          </a:xfrm>
          <a:prstGeom prst="rect">
            <a:avLst/>
          </a:prstGeom>
        </xdr:spPr>
      </xdr:pic>
      <xdr:cxnSp macro="">
        <xdr:nvCxnSpPr>
          <xdr:cNvPr id="8" name="직선 화살표 연결선 7">
            <a:extLst>
              <a:ext uri="{FF2B5EF4-FFF2-40B4-BE49-F238E27FC236}">
                <a16:creationId xmlns:a16="http://schemas.microsoft.com/office/drawing/2014/main" id="{3B112385-E00F-67D2-52EE-B5BFD82949EC}"/>
              </a:ext>
            </a:extLst>
          </xdr:cNvPr>
          <xdr:cNvCxnSpPr>
            <a:cxnSpLocks/>
          </xdr:cNvCxnSpPr>
        </xdr:nvCxnSpPr>
        <xdr:spPr>
          <a:xfrm>
            <a:off x="1143000" y="3629025"/>
            <a:ext cx="1343025" cy="523875"/>
          </a:xfrm>
          <a:prstGeom prst="straightConnector1">
            <a:avLst/>
          </a:prstGeom>
          <a:ln>
            <a:solidFill>
              <a:srgbClr val="FF000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822018EE-028B-8438-E072-7BC1A06BC778}"/>
              </a:ext>
            </a:extLst>
          </xdr:cNvPr>
          <xdr:cNvCxnSpPr>
            <a:cxnSpLocks/>
          </xdr:cNvCxnSpPr>
        </xdr:nvCxnSpPr>
        <xdr:spPr>
          <a:xfrm flipH="1">
            <a:off x="1123950" y="3305175"/>
            <a:ext cx="962025" cy="28376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6566FC4B-7753-1C81-A49A-5CE8289D7BEB}"/>
              </a:ext>
            </a:extLst>
          </xdr:cNvPr>
          <xdr:cNvCxnSpPr>
            <a:cxnSpLocks/>
          </xdr:cNvCxnSpPr>
        </xdr:nvCxnSpPr>
        <xdr:spPr>
          <a:xfrm flipH="1">
            <a:off x="2486025" y="3762375"/>
            <a:ext cx="1085850" cy="3905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96C04219-3968-179B-AC86-D48CDF98FD35}"/>
              </a:ext>
            </a:extLst>
          </xdr:cNvPr>
          <xdr:cNvSpPr/>
        </xdr:nvSpPr>
        <xdr:spPr>
          <a:xfrm>
            <a:off x="1514475" y="3792937"/>
            <a:ext cx="619125" cy="219075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>
                <a:solidFill>
                  <a:schemeClr val="tx1"/>
                </a:solidFill>
              </a:rPr>
              <a:t>X</a:t>
            </a:r>
            <a:endParaRPr lang="ko-KR" altLang="en-US">
              <a:solidFill>
                <a:schemeClr val="tx1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7C938EF-183A-5CD2-9293-05BED48BE1B6}"/>
              </a:ext>
            </a:extLst>
          </xdr:cNvPr>
          <xdr:cNvCxnSpPr>
            <a:cxnSpLocks/>
          </xdr:cNvCxnSpPr>
        </xdr:nvCxnSpPr>
        <xdr:spPr>
          <a:xfrm flipH="1">
            <a:off x="4533900" y="3357563"/>
            <a:ext cx="1562100" cy="688575"/>
          </a:xfrm>
          <a:prstGeom prst="straightConnector1">
            <a:avLst/>
          </a:prstGeom>
          <a:ln>
            <a:solidFill>
              <a:srgbClr val="00B050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1E108348-9AD3-6566-FF46-45F76FC7F116}"/>
              </a:ext>
            </a:extLst>
          </xdr:cNvPr>
          <xdr:cNvCxnSpPr>
            <a:cxnSpLocks/>
          </xdr:cNvCxnSpPr>
        </xdr:nvCxnSpPr>
        <xdr:spPr>
          <a:xfrm>
            <a:off x="3571875" y="3762375"/>
            <a:ext cx="962025" cy="283763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2F535858-E77B-3D77-9636-CF3C6B072BBE}"/>
              </a:ext>
            </a:extLst>
          </xdr:cNvPr>
          <xdr:cNvCxnSpPr>
            <a:cxnSpLocks/>
          </xdr:cNvCxnSpPr>
        </xdr:nvCxnSpPr>
        <xdr:spPr>
          <a:xfrm>
            <a:off x="5278706" y="3109912"/>
            <a:ext cx="817294" cy="247651"/>
          </a:xfrm>
          <a:prstGeom prst="line">
            <a:avLst/>
          </a:prstGeom>
          <a:ln>
            <a:solidFill>
              <a:srgbClr val="00B05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C16A72D2-08AC-FC92-A651-2035283F47EF}"/>
              </a:ext>
            </a:extLst>
          </xdr:cNvPr>
          <xdr:cNvSpPr/>
        </xdr:nvSpPr>
        <xdr:spPr>
          <a:xfrm flipH="1">
            <a:off x="5081123" y="3543300"/>
            <a:ext cx="619125" cy="219075"/>
          </a:xfrm>
          <a:prstGeom prst="rect">
            <a:avLst/>
          </a:prstGeom>
          <a:solidFill>
            <a:schemeClr val="bg1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>
                <a:solidFill>
                  <a:schemeClr val="tx1"/>
                </a:solidFill>
              </a:rPr>
              <a:t>Y</a:t>
            </a:r>
            <a:endParaRPr lang="ko-KR" altLang="en-US">
              <a:solidFill>
                <a:schemeClr val="tx1"/>
              </a:solidFill>
            </a:endParaRP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9A5E493-25D0-FAF5-9ED3-8E088655C7E2}"/>
              </a:ext>
            </a:extLst>
          </xdr:cNvPr>
          <xdr:cNvCxnSpPr>
            <a:cxnSpLocks/>
          </xdr:cNvCxnSpPr>
        </xdr:nvCxnSpPr>
        <xdr:spPr>
          <a:xfrm>
            <a:off x="6524161" y="2524125"/>
            <a:ext cx="0" cy="646913"/>
          </a:xfrm>
          <a:prstGeom prst="line">
            <a:avLst/>
          </a:prstGeom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82F0F8BC-3DCC-80D2-DC6C-13D6A2BA4026}"/>
              </a:ext>
            </a:extLst>
          </xdr:cNvPr>
          <xdr:cNvCxnSpPr>
            <a:cxnSpLocks/>
          </xdr:cNvCxnSpPr>
        </xdr:nvCxnSpPr>
        <xdr:spPr>
          <a:xfrm flipV="1">
            <a:off x="5250131" y="2802338"/>
            <a:ext cx="817294" cy="271462"/>
          </a:xfrm>
          <a:prstGeom prst="line">
            <a:avLst/>
          </a:prstGeom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7BED707-44A0-6495-9604-73DBD5D0F968}"/>
              </a:ext>
            </a:extLst>
          </xdr:cNvPr>
          <xdr:cNvCxnSpPr>
            <a:cxnSpLocks/>
          </xdr:cNvCxnSpPr>
        </xdr:nvCxnSpPr>
        <xdr:spPr>
          <a:xfrm flipV="1">
            <a:off x="5269181" y="2869013"/>
            <a:ext cx="817294" cy="271462"/>
          </a:xfrm>
          <a:prstGeom prst="line">
            <a:avLst/>
          </a:prstGeom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08FC2348-39B5-ADB1-7308-56D6A2842723}"/>
              </a:ext>
            </a:extLst>
          </xdr:cNvPr>
          <xdr:cNvCxnSpPr>
            <a:cxnSpLocks/>
          </xdr:cNvCxnSpPr>
        </xdr:nvCxnSpPr>
        <xdr:spPr>
          <a:xfrm>
            <a:off x="6038850" y="2916638"/>
            <a:ext cx="0" cy="254400"/>
          </a:xfrm>
          <a:prstGeom prst="straightConnector1">
            <a:avLst/>
          </a:prstGeom>
          <a:ln>
            <a:solidFill>
              <a:srgbClr val="0070C0"/>
            </a:solidFill>
            <a:headEnd type="triangl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8CAFF2FE-F3AE-147C-5AC8-2650D736C416}"/>
              </a:ext>
            </a:extLst>
          </xdr:cNvPr>
          <xdr:cNvCxnSpPr>
            <a:cxnSpLocks/>
          </xdr:cNvCxnSpPr>
        </xdr:nvCxnSpPr>
        <xdr:spPr>
          <a:xfrm flipV="1">
            <a:off x="6029325" y="2524125"/>
            <a:ext cx="0" cy="278213"/>
          </a:xfrm>
          <a:prstGeom prst="straightConnector1">
            <a:avLst/>
          </a:prstGeom>
          <a:ln>
            <a:solidFill>
              <a:srgbClr val="0070C0"/>
            </a:solidFill>
            <a:headEnd type="triangl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30EAB6-1F7C-51AE-C67A-3A95747E01DF}"/>
              </a:ext>
            </a:extLst>
          </xdr:cNvPr>
          <xdr:cNvCxnSpPr>
            <a:cxnSpLocks/>
          </xdr:cNvCxnSpPr>
        </xdr:nvCxnSpPr>
        <xdr:spPr>
          <a:xfrm>
            <a:off x="6029325" y="3171038"/>
            <a:ext cx="496228" cy="0"/>
          </a:xfrm>
          <a:prstGeom prst="line">
            <a:avLst/>
          </a:prstGeom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D4C4FC37-C4B2-EE5C-4D37-CF4D17C454A7}"/>
              </a:ext>
            </a:extLst>
          </xdr:cNvPr>
          <xdr:cNvCxnSpPr>
            <a:cxnSpLocks/>
          </xdr:cNvCxnSpPr>
        </xdr:nvCxnSpPr>
        <xdr:spPr>
          <a:xfrm>
            <a:off x="6018408" y="2524125"/>
            <a:ext cx="496228" cy="0"/>
          </a:xfrm>
          <a:prstGeom prst="line">
            <a:avLst/>
          </a:prstGeom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BF8165A-C8AD-BCEB-D4FD-106CDD78105F}"/>
              </a:ext>
            </a:extLst>
          </xdr:cNvPr>
          <xdr:cNvSpPr/>
        </xdr:nvSpPr>
        <xdr:spPr>
          <a:xfrm flipH="1">
            <a:off x="6218897" y="2726531"/>
            <a:ext cx="619125" cy="219075"/>
          </a:xfrm>
          <a:prstGeom prst="rect">
            <a:avLst/>
          </a:prstGeom>
          <a:solidFill>
            <a:schemeClr val="bg1"/>
          </a:solidFill>
          <a:ln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>
                <a:solidFill>
                  <a:schemeClr val="tx1"/>
                </a:solidFill>
              </a:rPr>
              <a:t>Z</a:t>
            </a:r>
            <a:endParaRPr lang="ko-KR" altLang="en-US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="130" zoomScaleNormal="130" workbookViewId="0">
      <selection activeCell="H29" sqref="H29"/>
    </sheetView>
  </sheetViews>
  <sheetFormatPr defaultRowHeight="16.5" x14ac:dyDescent="0.3"/>
  <cols>
    <col min="1" max="1" width="3.75" customWidth="1"/>
    <col min="2" max="2" width="23.875" customWidth="1"/>
    <col min="3" max="3" width="7.5" style="1" customWidth="1"/>
    <col min="4" max="4" width="6" bestFit="1" customWidth="1"/>
    <col min="5" max="5" width="11.25" style="1" customWidth="1"/>
    <col min="6" max="6" width="14.875" style="1" bestFit="1" customWidth="1"/>
  </cols>
  <sheetData>
    <row r="1" spans="1:8" ht="20.25" x14ac:dyDescent="0.35">
      <c r="A1" s="31" t="s">
        <v>32</v>
      </c>
      <c r="B1" s="31"/>
      <c r="C1" s="31"/>
      <c r="D1" s="31"/>
      <c r="E1" s="31"/>
      <c r="F1" s="31"/>
    </row>
    <row r="2" spans="1:8" x14ac:dyDescent="0.3">
      <c r="A2" s="30" t="s">
        <v>0</v>
      </c>
      <c r="B2" s="30"/>
      <c r="C2" s="4" t="s">
        <v>33</v>
      </c>
      <c r="D2" s="4" t="s">
        <v>1</v>
      </c>
      <c r="E2" s="4" t="s">
        <v>2</v>
      </c>
      <c r="F2" s="4"/>
    </row>
    <row r="3" spans="1:8" x14ac:dyDescent="0.3">
      <c r="A3" s="8" t="s">
        <v>3</v>
      </c>
      <c r="B3" s="6"/>
      <c r="C3" s="7"/>
      <c r="D3" s="6"/>
      <c r="E3" s="6"/>
      <c r="F3" s="6"/>
    </row>
    <row r="4" spans="1:8" x14ac:dyDescent="0.3">
      <c r="B4" s="3" t="s">
        <v>4</v>
      </c>
      <c r="C4" s="1">
        <v>9.8000000000000007</v>
      </c>
      <c r="D4" t="s">
        <v>5</v>
      </c>
      <c r="E4" s="3" t="s">
        <v>6</v>
      </c>
      <c r="F4" s="3"/>
    </row>
    <row r="5" spans="1:8" x14ac:dyDescent="0.3">
      <c r="B5" s="1"/>
    </row>
    <row r="6" spans="1:8" x14ac:dyDescent="0.3">
      <c r="A6" s="9" t="s">
        <v>7</v>
      </c>
      <c r="B6" s="5"/>
      <c r="C6" s="7"/>
      <c r="D6" s="6"/>
      <c r="E6" s="7"/>
      <c r="F6" s="7"/>
      <c r="G6" s="7" t="s">
        <v>64</v>
      </c>
    </row>
    <row r="7" spans="1:8" x14ac:dyDescent="0.3">
      <c r="B7" s="3" t="s">
        <v>8</v>
      </c>
      <c r="C7" s="13">
        <v>14</v>
      </c>
      <c r="D7" t="s">
        <v>9</v>
      </c>
      <c r="E7" s="3" t="s">
        <v>10</v>
      </c>
      <c r="F7" s="3"/>
      <c r="G7" s="10">
        <f>'무게,관성 계산'!F13</f>
        <v>69.721830000000011</v>
      </c>
      <c r="H7" t="s">
        <v>43</v>
      </c>
    </row>
    <row r="8" spans="1:8" ht="17.25" customHeight="1" x14ac:dyDescent="0.3">
      <c r="B8" s="3" t="s">
        <v>65</v>
      </c>
      <c r="C8" s="13">
        <v>336</v>
      </c>
      <c r="D8" t="s">
        <v>11</v>
      </c>
      <c r="E8" s="3" t="s">
        <v>63</v>
      </c>
      <c r="F8" s="3"/>
      <c r="G8" s="10">
        <f>'무게,관성 계산'!E21</f>
        <v>177.60198118724077</v>
      </c>
      <c r="H8" s="18"/>
    </row>
    <row r="9" spans="1:8" x14ac:dyDescent="0.3">
      <c r="B9" s="3" t="s">
        <v>21</v>
      </c>
      <c r="C9" s="13">
        <v>-12.5</v>
      </c>
      <c r="D9" t="s">
        <v>11</v>
      </c>
      <c r="E9" s="3" t="s">
        <v>63</v>
      </c>
      <c r="F9" s="3"/>
      <c r="G9" s="10">
        <f>'무게,관성 계산'!D21</f>
        <v>0</v>
      </c>
    </row>
    <row r="10" spans="1:8" x14ac:dyDescent="0.3">
      <c r="B10" s="3" t="s">
        <v>66</v>
      </c>
      <c r="C10" s="13">
        <v>-25.7</v>
      </c>
      <c r="D10" t="s">
        <v>11</v>
      </c>
      <c r="E10" s="3" t="s">
        <v>63</v>
      </c>
      <c r="F10" s="3"/>
      <c r="G10" s="10">
        <f>'무게,관성 계산'!C21</f>
        <v>0</v>
      </c>
    </row>
    <row r="11" spans="1:8" x14ac:dyDescent="0.3">
      <c r="B11" s="3" t="s">
        <v>18</v>
      </c>
      <c r="C11" s="13">
        <v>1.0449999999999999</v>
      </c>
      <c r="D11" t="s">
        <v>12</v>
      </c>
      <c r="E11" s="3" t="s">
        <v>63</v>
      </c>
      <c r="F11" s="3"/>
      <c r="G11" s="10">
        <f>'무게,관성 계산'!C30</f>
        <v>16.225193511014606</v>
      </c>
    </row>
    <row r="12" spans="1:8" x14ac:dyDescent="0.3">
      <c r="B12" s="3" t="s">
        <v>19</v>
      </c>
      <c r="C12" s="13">
        <v>0.54900000000000004</v>
      </c>
      <c r="D12" t="s">
        <v>12</v>
      </c>
      <c r="E12" s="3" t="s">
        <v>63</v>
      </c>
      <c r="F12" s="3"/>
      <c r="G12" s="10">
        <f>'무게,관성 계산'!D30</f>
        <v>2.2748712130046034</v>
      </c>
    </row>
    <row r="13" spans="1:8" x14ac:dyDescent="0.3">
      <c r="B13" s="3" t="s">
        <v>20</v>
      </c>
      <c r="C13" s="13">
        <v>0.53400000000000003</v>
      </c>
      <c r="D13" t="s">
        <v>12</v>
      </c>
      <c r="E13" s="3" t="s">
        <v>63</v>
      </c>
      <c r="F13" s="3"/>
      <c r="G13" s="10">
        <f>'무게,관성 계산'!E30</f>
        <v>14.598734724135003</v>
      </c>
    </row>
    <row r="14" spans="1:8" x14ac:dyDescent="0.3">
      <c r="B14" s="1"/>
    </row>
    <row r="15" spans="1:8" x14ac:dyDescent="0.3">
      <c r="A15" s="9" t="s">
        <v>86</v>
      </c>
      <c r="B15" s="5"/>
      <c r="C15" s="7"/>
      <c r="D15" s="6"/>
      <c r="E15" s="7"/>
      <c r="F15" s="7"/>
    </row>
    <row r="16" spans="1:8" x14ac:dyDescent="0.3">
      <c r="B16" s="3" t="s">
        <v>85</v>
      </c>
      <c r="C16" s="13" t="s">
        <v>98</v>
      </c>
      <c r="E16" s="29" t="s">
        <v>97</v>
      </c>
      <c r="F16" s="16"/>
    </row>
    <row r="17" spans="1:6" x14ac:dyDescent="0.3">
      <c r="B17" s="3" t="s">
        <v>13</v>
      </c>
      <c r="C17" s="25" cm="1">
        <f t="array" ref="C17:C21">TRANSPOSE(_xlfn.XLOOKUP(C16, '로봇 스펙'!A:A, '로봇 스펙'!B:F))</f>
        <v>25</v>
      </c>
      <c r="D17" t="s">
        <v>9</v>
      </c>
      <c r="E17" s="28"/>
      <c r="F17" s="16"/>
    </row>
    <row r="18" spans="1:6" x14ac:dyDescent="0.3">
      <c r="B18" s="3" t="s">
        <v>22</v>
      </c>
      <c r="C18" s="25">
        <v>50</v>
      </c>
      <c r="D18" t="s">
        <v>14</v>
      </c>
      <c r="E18" s="28"/>
      <c r="F18" s="16"/>
    </row>
    <row r="19" spans="1:6" x14ac:dyDescent="0.3">
      <c r="B19" s="3" t="s">
        <v>23</v>
      </c>
      <c r="C19" s="25">
        <v>30</v>
      </c>
      <c r="D19" t="s">
        <v>14</v>
      </c>
      <c r="E19" s="28"/>
      <c r="F19" s="16"/>
    </row>
    <row r="20" spans="1:6" x14ac:dyDescent="0.3">
      <c r="B20" s="3" t="s">
        <v>24</v>
      </c>
      <c r="C20" s="25">
        <v>2.2000000000000002</v>
      </c>
      <c r="D20" t="s">
        <v>12</v>
      </c>
      <c r="E20" s="28"/>
      <c r="F20" s="16"/>
    </row>
    <row r="21" spans="1:6" x14ac:dyDescent="0.3">
      <c r="B21" s="3" t="s">
        <v>25</v>
      </c>
      <c r="C21" s="25">
        <v>1.5</v>
      </c>
      <c r="D21" t="s">
        <v>12</v>
      </c>
      <c r="E21" s="28"/>
      <c r="F21" s="16"/>
    </row>
    <row r="22" spans="1:6" x14ac:dyDescent="0.3">
      <c r="B22" s="3"/>
    </row>
    <row r="23" spans="1:6" x14ac:dyDescent="0.3">
      <c r="A23" s="9" t="s">
        <v>15</v>
      </c>
      <c r="B23" s="5"/>
      <c r="C23" s="7"/>
      <c r="D23" s="6"/>
      <c r="E23" s="7" t="s">
        <v>16</v>
      </c>
      <c r="F23" s="7"/>
    </row>
    <row r="24" spans="1:6" x14ac:dyDescent="0.3">
      <c r="B24" s="3" t="s">
        <v>67</v>
      </c>
      <c r="C24" s="14">
        <f>SQRT((C8/1000)^2+(C10/1000)^2)</f>
        <v>0.33698143865797714</v>
      </c>
      <c r="D24" t="s">
        <v>17</v>
      </c>
      <c r="E24" s="2"/>
      <c r="F24" s="2"/>
    </row>
    <row r="25" spans="1:6" x14ac:dyDescent="0.3">
      <c r="B25" s="3" t="s">
        <v>68</v>
      </c>
      <c r="C25" s="14">
        <f>SQRT((C9/1000)^2+(C10/1000)^2)</f>
        <v>2.8578663369723926E-2</v>
      </c>
      <c r="D25" t="s">
        <v>17</v>
      </c>
      <c r="E25" s="2"/>
      <c r="F25" s="2"/>
    </row>
    <row r="26" spans="1:6" x14ac:dyDescent="0.3">
      <c r="B26" s="3"/>
      <c r="E26" s="2"/>
      <c r="F26" s="2"/>
    </row>
    <row r="27" spans="1:6" ht="17.25" x14ac:dyDescent="0.3">
      <c r="B27" s="23" t="s">
        <v>26</v>
      </c>
      <c r="C27" s="24">
        <f>C7*C24*C4</f>
        <v>46.233853383874468</v>
      </c>
      <c r="D27" t="s">
        <v>14</v>
      </c>
      <c r="E27" s="11" t="str">
        <f>IF(C27&lt;=C18,"OK","NG")</f>
        <v>OK</v>
      </c>
      <c r="F27" s="11" t="str">
        <f>TEXT(C27, "0.00") &amp; IF(C27 &gt; C18, " &gt; ", IF(C27 &lt; C18, " &lt; ", " = ")) &amp; TEXT(C18, "0.00")</f>
        <v>46.23 &lt; 50.00</v>
      </c>
    </row>
    <row r="28" spans="1:6" ht="17.25" x14ac:dyDescent="0.3">
      <c r="B28" s="23" t="s">
        <v>27</v>
      </c>
      <c r="C28" s="24">
        <f>C7*C25*C4</f>
        <v>3.9209926143261229</v>
      </c>
      <c r="D28" t="s">
        <v>14</v>
      </c>
      <c r="E28" s="11" t="str">
        <f>IF(C28&lt;=C19,"OK","NG")</f>
        <v>OK</v>
      </c>
      <c r="F28" s="11" t="str">
        <f t="shared" ref="F28:F30" si="0">TEXT(C28, "0.00") &amp; IF(C28 &gt; C19, " &gt; ", IF(C28 &lt; C19, " &lt; ", " = ")) &amp; TEXT(C19, "0.00")</f>
        <v>3.92 &lt; 30.00</v>
      </c>
    </row>
    <row r="29" spans="1:6" ht="17.25" x14ac:dyDescent="0.3">
      <c r="B29" s="23" t="s">
        <v>28</v>
      </c>
      <c r="C29" s="24">
        <f>(C7*(C24^2))+C12</f>
        <v>2.1387908600000003</v>
      </c>
      <c r="D29" t="s">
        <v>12</v>
      </c>
      <c r="E29" s="12" t="str">
        <f>IF(C29&lt;=C20,"OK","NG")</f>
        <v>OK</v>
      </c>
      <c r="F29" s="11" t="str">
        <f t="shared" si="0"/>
        <v>2.14 &lt; 2.20</v>
      </c>
    </row>
    <row r="30" spans="1:6" ht="17.25" x14ac:dyDescent="0.3">
      <c r="B30" s="23" t="s">
        <v>29</v>
      </c>
      <c r="C30" s="24">
        <f>(C7*(C25^2))+C13</f>
        <v>0.54543436000000001</v>
      </c>
      <c r="D30" t="s">
        <v>12</v>
      </c>
      <c r="E30" s="12" t="str">
        <f>IF(C30&lt;=C21,"OK","NG")</f>
        <v>OK</v>
      </c>
      <c r="F30" s="11" t="str">
        <f t="shared" si="0"/>
        <v>0.55 &lt; 1.50</v>
      </c>
    </row>
    <row r="31" spans="1:6" x14ac:dyDescent="0.3">
      <c r="B31" s="3"/>
    </row>
  </sheetData>
  <mergeCells count="2">
    <mergeCell ref="A2:B2"/>
    <mergeCell ref="A1:F1"/>
  </mergeCells>
  <phoneticPr fontId="3" type="noConversion"/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B43690-8765-445B-A5D6-7F0678549104}">
          <x14:formula1>
            <xm:f>'로봇 스펙'!$A:$A</xm:f>
          </x14:formula1>
          <xm:sqref>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83B1-6867-4CF9-A601-CE2D1137EAB1}">
  <dimension ref="A1:F31"/>
  <sheetViews>
    <sheetView zoomScale="130" zoomScaleNormal="130" workbookViewId="0">
      <selection activeCell="D36" sqref="D36"/>
    </sheetView>
  </sheetViews>
  <sheetFormatPr defaultRowHeight="16.5" x14ac:dyDescent="0.3"/>
  <cols>
    <col min="1" max="1" width="2.75" customWidth="1"/>
    <col min="2" max="2" width="25" customWidth="1"/>
    <col min="3" max="3" width="12.75" bestFit="1" customWidth="1"/>
    <col min="4" max="4" width="10.5" bestFit="1" customWidth="1"/>
    <col min="5" max="5" width="14.375" bestFit="1" customWidth="1"/>
    <col min="6" max="6" width="10.125" bestFit="1" customWidth="1"/>
  </cols>
  <sheetData>
    <row r="1" spans="1:6" ht="20.25" x14ac:dyDescent="0.35">
      <c r="A1" s="31" t="s">
        <v>44</v>
      </c>
      <c r="B1" s="31"/>
      <c r="C1" s="31"/>
      <c r="D1" s="31"/>
      <c r="E1" s="31"/>
      <c r="F1" s="31"/>
    </row>
    <row r="2" spans="1:6" x14ac:dyDescent="0.3">
      <c r="A2" s="30" t="s">
        <v>0</v>
      </c>
      <c r="B2" s="30"/>
      <c r="C2" s="4" t="s">
        <v>33</v>
      </c>
      <c r="D2" s="4" t="s">
        <v>1</v>
      </c>
      <c r="E2" s="30" t="s">
        <v>2</v>
      </c>
      <c r="F2" s="30"/>
    </row>
    <row r="3" spans="1:6" x14ac:dyDescent="0.3">
      <c r="A3" s="8" t="s">
        <v>3</v>
      </c>
      <c r="B3" s="6"/>
      <c r="C3" s="7"/>
      <c r="D3" s="6"/>
      <c r="E3" s="6"/>
      <c r="F3" s="15"/>
    </row>
    <row r="4" spans="1:6" x14ac:dyDescent="0.3">
      <c r="B4" s="3" t="s">
        <v>30</v>
      </c>
      <c r="C4" s="13">
        <v>2.7</v>
      </c>
      <c r="D4" t="s">
        <v>31</v>
      </c>
      <c r="E4" s="3" t="s">
        <v>34</v>
      </c>
    </row>
    <row r="5" spans="1:6" x14ac:dyDescent="0.3">
      <c r="B5" s="1"/>
      <c r="E5" s="1" t="s">
        <v>99</v>
      </c>
    </row>
    <row r="6" spans="1:6" x14ac:dyDescent="0.3">
      <c r="A6" s="9" t="s">
        <v>94</v>
      </c>
      <c r="B6" s="5"/>
      <c r="C6" s="1"/>
      <c r="D6" s="7"/>
      <c r="E6" s="15"/>
      <c r="F6" s="15"/>
    </row>
    <row r="7" spans="1:6" x14ac:dyDescent="0.3">
      <c r="A7" s="9"/>
      <c r="B7" s="17" t="s">
        <v>50</v>
      </c>
      <c r="C7" s="15" t="s">
        <v>38</v>
      </c>
      <c r="D7" s="15" t="s">
        <v>36</v>
      </c>
      <c r="E7" s="15" t="s">
        <v>37</v>
      </c>
      <c r="F7" s="15" t="s">
        <v>52</v>
      </c>
    </row>
    <row r="8" spans="1:6" x14ac:dyDescent="0.3">
      <c r="B8" s="3" t="s">
        <v>35</v>
      </c>
      <c r="C8" s="13">
        <v>100</v>
      </c>
      <c r="D8" s="13">
        <v>100</v>
      </c>
      <c r="E8" s="13">
        <v>4.5</v>
      </c>
      <c r="F8" s="19">
        <f>C8*D8*E8*C4/100000</f>
        <v>1.2150000000000001</v>
      </c>
    </row>
    <row r="9" spans="1:6" x14ac:dyDescent="0.3">
      <c r="B9" s="3" t="s">
        <v>39</v>
      </c>
      <c r="C9" s="13">
        <v>65</v>
      </c>
      <c r="D9" s="13">
        <v>117</v>
      </c>
      <c r="E9" s="13">
        <v>49</v>
      </c>
      <c r="F9" s="19">
        <f>C9*D9*E9*C4/100000</f>
        <v>10.061415000000002</v>
      </c>
    </row>
    <row r="10" spans="1:6" x14ac:dyDescent="0.3">
      <c r="B10" s="3" t="s">
        <v>40</v>
      </c>
      <c r="C10" s="13">
        <v>65</v>
      </c>
      <c r="D10" s="13">
        <v>117</v>
      </c>
      <c r="E10" s="13">
        <v>49</v>
      </c>
      <c r="F10" s="19">
        <f>C10*D10*E10*C4/100000</f>
        <v>10.061415000000002</v>
      </c>
    </row>
    <row r="11" spans="1:6" x14ac:dyDescent="0.3">
      <c r="B11" s="3" t="s">
        <v>41</v>
      </c>
      <c r="C11" s="13">
        <v>280</v>
      </c>
      <c r="D11" s="13">
        <v>320</v>
      </c>
      <c r="E11" s="13">
        <v>10</v>
      </c>
      <c r="F11" s="19">
        <f>C11*D11*E11*C4/100000</f>
        <v>24.192</v>
      </c>
    </row>
    <row r="12" spans="1:6" x14ac:dyDescent="0.3">
      <c r="B12" s="3" t="s">
        <v>42</v>
      </c>
      <c r="C12" s="13">
        <v>280</v>
      </c>
      <c r="D12" s="13">
        <v>320</v>
      </c>
      <c r="E12" s="13">
        <v>10</v>
      </c>
      <c r="F12" s="19">
        <f>C12*D12*E12*C4/100000</f>
        <v>24.192</v>
      </c>
    </row>
    <row r="13" spans="1:6" x14ac:dyDescent="0.3">
      <c r="B13" s="22" t="s">
        <v>51</v>
      </c>
      <c r="C13" s="1"/>
      <c r="D13" s="1"/>
      <c r="E13" s="1"/>
      <c r="F13" s="19">
        <f>SUM(F8:F12)</f>
        <v>69.721830000000011</v>
      </c>
    </row>
    <row r="14" spans="1:6" x14ac:dyDescent="0.3">
      <c r="A14" s="9" t="s">
        <v>95</v>
      </c>
      <c r="B14" s="5"/>
      <c r="C14" s="7"/>
      <c r="D14" s="20"/>
      <c r="E14" s="7"/>
      <c r="F14" s="15"/>
    </row>
    <row r="15" spans="1:6" x14ac:dyDescent="0.3">
      <c r="A15" s="5"/>
      <c r="B15" s="17" t="s">
        <v>50</v>
      </c>
      <c r="C15" s="15" t="s">
        <v>38</v>
      </c>
      <c r="D15" s="15" t="s">
        <v>36</v>
      </c>
      <c r="E15" s="15" t="s">
        <v>37</v>
      </c>
      <c r="F15" s="15" t="s">
        <v>53</v>
      </c>
    </row>
    <row r="16" spans="1:6" x14ac:dyDescent="0.3">
      <c r="B16" s="3" t="s">
        <v>45</v>
      </c>
      <c r="C16" s="13">
        <v>0</v>
      </c>
      <c r="D16" s="13">
        <v>0</v>
      </c>
      <c r="E16" s="13">
        <v>5</v>
      </c>
      <c r="F16" s="13">
        <v>123</v>
      </c>
    </row>
    <row r="17" spans="1:6" x14ac:dyDescent="0.3">
      <c r="B17" s="3" t="s">
        <v>46</v>
      </c>
      <c r="C17" s="13">
        <v>0</v>
      </c>
      <c r="D17" s="13">
        <v>415</v>
      </c>
      <c r="E17" s="13">
        <v>25</v>
      </c>
      <c r="F17" s="13">
        <v>133</v>
      </c>
    </row>
    <row r="18" spans="1:6" x14ac:dyDescent="0.3">
      <c r="B18" s="3" t="s">
        <v>47</v>
      </c>
      <c r="C18" s="13">
        <v>0</v>
      </c>
      <c r="D18" s="13">
        <v>-415</v>
      </c>
      <c r="E18" s="13">
        <v>25</v>
      </c>
      <c r="F18" s="13">
        <v>133</v>
      </c>
    </row>
    <row r="19" spans="1:6" x14ac:dyDescent="0.3">
      <c r="B19" s="3" t="s">
        <v>48</v>
      </c>
      <c r="C19" s="13">
        <v>0</v>
      </c>
      <c r="D19" s="13">
        <v>463</v>
      </c>
      <c r="E19" s="13">
        <v>5</v>
      </c>
      <c r="F19" s="13">
        <v>182</v>
      </c>
    </row>
    <row r="20" spans="1:6" x14ac:dyDescent="0.3">
      <c r="B20" s="3" t="s">
        <v>49</v>
      </c>
      <c r="C20" s="13">
        <v>0</v>
      </c>
      <c r="D20" s="13">
        <v>-463</v>
      </c>
      <c r="E20" s="13">
        <v>5</v>
      </c>
      <c r="F20" s="13">
        <v>182</v>
      </c>
    </row>
    <row r="21" spans="1:6" x14ac:dyDescent="0.3">
      <c r="B21" s="22" t="s">
        <v>88</v>
      </c>
      <c r="C21" s="19">
        <f>(F8*C16+F9*C17+F10*C18+F11*C19+F12*C20)/F13</f>
        <v>0</v>
      </c>
      <c r="D21" s="19">
        <f>(F8*D16+F9*D17+F10*D18+F11*D19+F12*D20)/F13</f>
        <v>0</v>
      </c>
      <c r="E21" s="19">
        <f>(F8*(E16+F16)+F9*(E17+F17)+F10*(E18+F18)+F11*(E19+F19)+F12*(E20+F20))/F13</f>
        <v>177.60198118724077</v>
      </c>
      <c r="F21" t="s">
        <v>92</v>
      </c>
    </row>
    <row r="22" spans="1:6" x14ac:dyDescent="0.3">
      <c r="B22" s="22" t="s">
        <v>89</v>
      </c>
      <c r="C22" s="19">
        <f>(F8*C16+F9*C17+F10*C18+F11*C19+F12*C20)/F13</f>
        <v>0</v>
      </c>
      <c r="D22" s="19">
        <f>(F8*D16+F9*D17+F10*D18+F11*D19+F12*D20)/F13</f>
        <v>0</v>
      </c>
      <c r="E22" s="19">
        <f>(F8*E16+F9*E17+F10*E18+F11*E19+F12*E20)/F13</f>
        <v>10.772318368579826</v>
      </c>
      <c r="F22" t="s">
        <v>93</v>
      </c>
    </row>
    <row r="23" spans="1:6" x14ac:dyDescent="0.3">
      <c r="A23" s="9" t="s">
        <v>96</v>
      </c>
      <c r="B23" s="5"/>
      <c r="C23" s="7"/>
      <c r="D23" s="20"/>
      <c r="E23" s="7"/>
      <c r="F23" s="15"/>
    </row>
    <row r="24" spans="1:6" x14ac:dyDescent="0.3">
      <c r="A24" s="5"/>
      <c r="B24" s="17" t="s">
        <v>59</v>
      </c>
      <c r="C24" s="15" t="s">
        <v>60</v>
      </c>
      <c r="D24" s="15" t="s">
        <v>61</v>
      </c>
      <c r="E24" s="15" t="s">
        <v>62</v>
      </c>
      <c r="F24" s="15"/>
    </row>
    <row r="25" spans="1:6" x14ac:dyDescent="0.3">
      <c r="B25" s="3" t="s">
        <v>54</v>
      </c>
      <c r="C25" s="21">
        <f>((D8/1000)^2+(E8/1000)^2)/12*F8</f>
        <v>1.0145503125000002E-3</v>
      </c>
      <c r="D25" s="21">
        <f>((C8/1000)^2+(E8/1000)^2)/12*F8</f>
        <v>1.0145503125000002E-3</v>
      </c>
      <c r="E25" s="21">
        <f>((C8/1000)^2+(D8/1000)^2)/12*F8</f>
        <v>2.0250000000000003E-3</v>
      </c>
    </row>
    <row r="26" spans="1:6" x14ac:dyDescent="0.3">
      <c r="B26" s="3" t="s">
        <v>55</v>
      </c>
      <c r="C26" s="21">
        <f t="shared" ref="C26:C29" si="0">((D9/1000)^2+(E9/1000)^2)/12*F9</f>
        <v>1.3490680612500004E-2</v>
      </c>
      <c r="D26" s="21">
        <f t="shared" ref="D26:D29" si="1">((C9/1000)^2+(E9/1000)^2)/12*F9</f>
        <v>5.5555779825000014E-3</v>
      </c>
      <c r="E26" s="21">
        <f t="shared" ref="E26:E29" si="2">((C9/1000)^2+(D9/1000)^2)/12*F9</f>
        <v>1.5020015692500006E-2</v>
      </c>
    </row>
    <row r="27" spans="1:6" x14ac:dyDescent="0.3">
      <c r="B27" s="3" t="s">
        <v>56</v>
      </c>
      <c r="C27" s="21">
        <f t="shared" si="0"/>
        <v>1.3490680612500004E-2</v>
      </c>
      <c r="D27" s="21">
        <f t="shared" si="1"/>
        <v>5.5555779825000014E-3</v>
      </c>
      <c r="E27" s="21">
        <f t="shared" si="2"/>
        <v>1.5020015692500006E-2</v>
      </c>
    </row>
    <row r="28" spans="1:6" x14ac:dyDescent="0.3">
      <c r="B28" s="3" t="s">
        <v>57</v>
      </c>
      <c r="C28" s="21">
        <f t="shared" si="0"/>
        <v>0.20664000000000002</v>
      </c>
      <c r="D28" s="21">
        <f t="shared" si="1"/>
        <v>0.15825600000000004</v>
      </c>
      <c r="E28" s="21">
        <f t="shared" si="2"/>
        <v>0.36449280000000001</v>
      </c>
    </row>
    <row r="29" spans="1:6" x14ac:dyDescent="0.3">
      <c r="B29" s="3" t="s">
        <v>58</v>
      </c>
      <c r="C29" s="21">
        <f t="shared" si="0"/>
        <v>0.20664000000000002</v>
      </c>
      <c r="D29" s="21">
        <f t="shared" si="1"/>
        <v>0.15825600000000004</v>
      </c>
      <c r="E29" s="21">
        <f t="shared" si="2"/>
        <v>0.36449280000000001</v>
      </c>
    </row>
    <row r="30" spans="1:6" x14ac:dyDescent="0.3">
      <c r="B30" s="22" t="s">
        <v>90</v>
      </c>
      <c r="C30" s="14">
        <f>(C25 + F8*(((D16-$D$21)/1000)^2 + ((E16-$E$21)/1000)^2)) + (C26 + F9*(((D17-$D$21)/1000)^2 + ((E17-$E$21)/1000)^2)) + (C27 + F10*(((D18-$D$21)/1000)^2 + ((E18-$E$21)/1000)^2)) + (C28 + F11*(((D19-$D$21)/1000)^2 + ((E19-$E$21)/1000)^2)) + (C29 + F12*(((D20-$D$21)/1000)^2 + ((E20-$E$21)/1000)^2))</f>
        <v>16.225193511014606</v>
      </c>
      <c r="D30" s="14">
        <f>(D25 + F8*(((C16-$C$21)/1000)^2 + ((E16-$E$21)/1000)^2)) + (D26 + F9*(((C17-$C$21)/1000)^2 + ((E17-$E$21)/1000)^2)) + (D27 + F10*(((C18-$C$21)/1000)^2 + ((E18-$E$21)/1000)^2)) + (D28 + F11*(((C19-$C$21)/1000)^2 + ((E19-$E$21)/1000)^2)) + (D29 + F12*(((C20-$C$21)/1000)^2 + ((E20-$E$21)/1000)^2))</f>
        <v>2.2748712130046034</v>
      </c>
      <c r="E30" s="14">
        <f>(E25 + F8*(((C16-$C$21)/1000)^2 + ((D16-$D$21)/1000)^2)) + (E26 + F9*(((C17-$C$21)/1000)^2 + ((D17-$D$21)/1000)^2)) + (E27 + F10*(((C18-$C$21)/1000)^2 + ((D18-$D$21)/1000)^2)) + (E28 + F11*(((C19-$C$21)/1000)^2 + ((D19-$D$21)/1000)^2)) + (E29 + F12*(((C20-$C$21)/1000)^2 + ((D20-$D$21)/1000)^2))</f>
        <v>14.598734724135003</v>
      </c>
      <c r="F30" t="s">
        <v>92</v>
      </c>
    </row>
    <row r="31" spans="1:6" x14ac:dyDescent="0.3">
      <c r="B31" s="22" t="s">
        <v>91</v>
      </c>
      <c r="C31" s="14">
        <f>(C25 + F8*(((D16-$D$22)/1000)^2 + ((E16-$E$22)/1000)^2)) + (C26 + F9*(((D17-$D$22)/1000)^2 + ((E17-$E$22)/1000)^2)) + (C27 + F10*(((D18-$D$22)/1000)^2 + ((E18-$E$22)/1000)^2)) + (C28 + F11*(((D19-$D$22)/1000)^2 + ((E19-$E$22)/1000)^2)) + (C29 + F12*(((D20-$D$22)/1000)^2 + ((E20-$E$22)/1000)^2))</f>
        <v>14.284686028662765</v>
      </c>
      <c r="D31" s="14">
        <f>(D25 + F8*(((E16-$C$22)/1000)^2 + ((C16-$E$22)/1000)^2)) + (D26 + F9*(((E17-$C$22)/1000)^2 + ((C17-$E$22)/1000)^2)) + (D27 + F10*(((E18-$C$22)/1000)^2 + ((C18-$E$22)/1000)^2)) + (D28 + F11*(((E19-$C$22)/1000)^2 + ((C19-$E$22)/1000)^2)) + (D29 + F12*(((E20-$C$22)/1000)^2 + ((C20-$E$22)/1000)^2))</f>
        <v>0.35054516940223629</v>
      </c>
      <c r="E31" s="14">
        <f>(E25 + F8*(((C16-$C$22)/1000)^2 + ((D16-$D$22)/1000)^2)) + (E26 + F9*(((C17-$C$22)/1000)^2 + ((D17-$D$22)/1000)^2)) + (E27 + F10*(((C18-$C$22)/1000)^2 + ((D18-$D$22)/1000)^2)) + (E28 + F11*(((C19-$C$22)/1000)^2 + ((D19-$D$22)/1000)^2)) + (E29 + F12*(((C20-$C$22)/1000)^2 + ((D20-$D$22)/1000)^2))</f>
        <v>14.598734724135003</v>
      </c>
      <c r="F31" t="s">
        <v>93</v>
      </c>
    </row>
  </sheetData>
  <mergeCells count="3">
    <mergeCell ref="A2:B2"/>
    <mergeCell ref="A1:F1"/>
    <mergeCell ref="E2:F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ABE7-843C-4B2D-B42E-D02109CDBA96}">
  <dimension ref="A1:G12"/>
  <sheetViews>
    <sheetView zoomScale="175" zoomScaleNormal="175" workbookViewId="0">
      <selection activeCell="D15" sqref="D15"/>
    </sheetView>
  </sheetViews>
  <sheetFormatPr defaultRowHeight="16.5" x14ac:dyDescent="0.3"/>
  <cols>
    <col min="1" max="1" width="8.375" style="26" bestFit="1" customWidth="1"/>
    <col min="2" max="2" width="9.625" style="1" bestFit="1" customWidth="1"/>
    <col min="3" max="4" width="12.125" style="1" bestFit="1" customWidth="1"/>
    <col min="5" max="6" width="18.375" style="1" bestFit="1" customWidth="1"/>
    <col min="7" max="7" width="12.125" bestFit="1" customWidth="1"/>
  </cols>
  <sheetData>
    <row r="1" spans="1:7" x14ac:dyDescent="0.3">
      <c r="A1" s="27" t="s">
        <v>69</v>
      </c>
      <c r="B1" s="27" t="s">
        <v>87</v>
      </c>
      <c r="C1" s="27" t="s">
        <v>70</v>
      </c>
      <c r="D1" s="27" t="s">
        <v>71</v>
      </c>
      <c r="E1" s="27" t="s">
        <v>72</v>
      </c>
      <c r="F1" s="27" t="s">
        <v>73</v>
      </c>
      <c r="G1" s="27" t="s">
        <v>100</v>
      </c>
    </row>
    <row r="2" spans="1:7" x14ac:dyDescent="0.3">
      <c r="A2" s="26" t="s">
        <v>74</v>
      </c>
      <c r="B2" s="1">
        <v>4</v>
      </c>
      <c r="C2" s="1">
        <v>8.86</v>
      </c>
      <c r="D2" s="1">
        <v>4.9000000000000004</v>
      </c>
      <c r="E2" s="1">
        <v>0.2</v>
      </c>
      <c r="F2" s="1">
        <v>6.7000000000000004E-2</v>
      </c>
      <c r="G2" s="1">
        <v>70</v>
      </c>
    </row>
    <row r="3" spans="1:7" x14ac:dyDescent="0.3">
      <c r="A3" s="26" t="s">
        <v>75</v>
      </c>
      <c r="B3" s="1">
        <v>4</v>
      </c>
      <c r="C3" s="1">
        <v>8.86</v>
      </c>
      <c r="D3" s="1">
        <v>4.9000000000000004</v>
      </c>
      <c r="E3" s="1">
        <v>0.2</v>
      </c>
      <c r="F3" s="1">
        <v>6.7000000000000004E-2</v>
      </c>
      <c r="G3" s="1">
        <v>75</v>
      </c>
    </row>
    <row r="4" spans="1:7" x14ac:dyDescent="0.3">
      <c r="A4" s="26" t="s">
        <v>76</v>
      </c>
      <c r="B4" s="1">
        <v>7</v>
      </c>
      <c r="C4" s="1">
        <v>16.899999999999999</v>
      </c>
      <c r="D4" s="1">
        <v>9.4</v>
      </c>
      <c r="E4" s="1">
        <v>0.49</v>
      </c>
      <c r="F4" s="1">
        <v>0.15</v>
      </c>
      <c r="G4" s="1">
        <v>78</v>
      </c>
    </row>
    <row r="5" spans="1:7" x14ac:dyDescent="0.3">
      <c r="A5" s="26" t="s">
        <v>77</v>
      </c>
      <c r="B5" s="1">
        <v>10</v>
      </c>
      <c r="C5" s="1">
        <v>18.59</v>
      </c>
      <c r="D5" s="1">
        <v>9.8000000000000007</v>
      </c>
      <c r="E5" s="1">
        <v>0.6</v>
      </c>
      <c r="F5" s="1">
        <v>0.2</v>
      </c>
      <c r="G5" s="1">
        <v>80</v>
      </c>
    </row>
    <row r="6" spans="1:7" x14ac:dyDescent="0.3">
      <c r="A6" s="26" t="s">
        <v>78</v>
      </c>
      <c r="B6" s="1">
        <v>10</v>
      </c>
      <c r="C6" s="1">
        <v>22</v>
      </c>
      <c r="D6" s="1">
        <v>9.8000000000000007</v>
      </c>
      <c r="E6" s="1">
        <v>0.63</v>
      </c>
      <c r="F6" s="1">
        <v>0.2</v>
      </c>
      <c r="G6" s="1">
        <v>107.7</v>
      </c>
    </row>
    <row r="7" spans="1:7" x14ac:dyDescent="0.3">
      <c r="A7" s="26" t="s">
        <v>79</v>
      </c>
      <c r="B7" s="1">
        <v>10</v>
      </c>
      <c r="C7" s="1">
        <v>18.59</v>
      </c>
      <c r="D7" s="1">
        <v>9.8000000000000007</v>
      </c>
      <c r="E7" s="1">
        <v>0.6</v>
      </c>
      <c r="F7" s="1">
        <v>0.2</v>
      </c>
      <c r="G7" s="1">
        <v>78</v>
      </c>
    </row>
    <row r="8" spans="1:7" x14ac:dyDescent="0.3">
      <c r="A8" s="26" t="s">
        <v>80</v>
      </c>
      <c r="B8" s="1">
        <v>11</v>
      </c>
      <c r="C8" s="1">
        <v>20.45</v>
      </c>
      <c r="D8" s="1">
        <v>10.8</v>
      </c>
      <c r="E8" s="1">
        <v>0.6</v>
      </c>
      <c r="F8" s="1">
        <v>0.2</v>
      </c>
      <c r="G8" s="1">
        <v>80</v>
      </c>
    </row>
    <row r="9" spans="1:7" x14ac:dyDescent="0.3">
      <c r="A9" s="26" t="s">
        <v>81</v>
      </c>
      <c r="B9" s="1">
        <v>15</v>
      </c>
      <c r="C9" s="1">
        <v>26.5</v>
      </c>
      <c r="D9" s="1">
        <v>12</v>
      </c>
      <c r="E9" s="1">
        <v>0.9</v>
      </c>
      <c r="F9" s="1">
        <v>0.3</v>
      </c>
      <c r="G9" s="1">
        <v>86</v>
      </c>
    </row>
    <row r="10" spans="1:7" x14ac:dyDescent="0.3">
      <c r="A10" s="26" t="s">
        <v>82</v>
      </c>
      <c r="B10" s="1">
        <v>16</v>
      </c>
      <c r="C10" s="1">
        <v>25</v>
      </c>
      <c r="D10" s="1">
        <v>12</v>
      </c>
      <c r="E10" s="1">
        <v>0.78</v>
      </c>
      <c r="F10" s="1">
        <v>0.3</v>
      </c>
      <c r="G10" s="1">
        <v>123</v>
      </c>
    </row>
    <row r="11" spans="1:7" x14ac:dyDescent="0.3">
      <c r="A11" s="26" t="s">
        <v>83</v>
      </c>
      <c r="B11" s="1">
        <v>20</v>
      </c>
      <c r="C11" s="1">
        <v>35</v>
      </c>
      <c r="D11" s="1">
        <v>20</v>
      </c>
      <c r="E11" s="1">
        <v>1</v>
      </c>
      <c r="F11" s="1">
        <v>0.4</v>
      </c>
      <c r="G11" s="1">
        <v>86</v>
      </c>
    </row>
    <row r="12" spans="1:7" x14ac:dyDescent="0.3">
      <c r="A12" s="26" t="s">
        <v>84</v>
      </c>
      <c r="B12" s="1">
        <v>25</v>
      </c>
      <c r="C12" s="1">
        <v>50</v>
      </c>
      <c r="D12" s="1">
        <v>30</v>
      </c>
      <c r="E12" s="1">
        <v>2.2000000000000002</v>
      </c>
      <c r="F12" s="1">
        <v>1.5</v>
      </c>
      <c r="G12" s="1">
        <v>123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4D92-A912-4ABB-B8CA-F8920365D292}">
  <dimension ref="A1:E9"/>
  <sheetViews>
    <sheetView tabSelected="1" zoomScale="175" zoomScaleNormal="175" workbookViewId="0">
      <selection activeCell="H11" sqref="H11"/>
    </sheetView>
  </sheetViews>
  <sheetFormatPr defaultRowHeight="16.5" x14ac:dyDescent="0.3"/>
  <cols>
    <col min="1" max="1" width="8.375" style="26" bestFit="1" customWidth="1"/>
    <col min="2" max="3" width="9.625" style="1" bestFit="1" customWidth="1"/>
    <col min="4" max="4" width="12.125" style="1" bestFit="1" customWidth="1"/>
    <col min="5" max="5" width="18.375" style="1" bestFit="1" customWidth="1"/>
  </cols>
  <sheetData>
    <row r="1" spans="1:5" x14ac:dyDescent="0.3">
      <c r="A1" s="27" t="s">
        <v>69</v>
      </c>
      <c r="B1" s="27" t="s">
        <v>101</v>
      </c>
      <c r="C1" s="27" t="s">
        <v>87</v>
      </c>
      <c r="D1" s="27" t="s">
        <v>102</v>
      </c>
      <c r="E1" s="27" t="s">
        <v>103</v>
      </c>
    </row>
    <row r="2" spans="1:5" x14ac:dyDescent="0.3">
      <c r="A2" s="26" t="s">
        <v>104</v>
      </c>
      <c r="B2" s="1">
        <v>2</v>
      </c>
      <c r="C2" s="1">
        <v>4</v>
      </c>
      <c r="D2" s="1">
        <v>5.0000000000000001E-3</v>
      </c>
      <c r="E2" s="1">
        <v>0.05</v>
      </c>
    </row>
    <row r="3" spans="1:5" x14ac:dyDescent="0.3">
      <c r="A3" s="26" t="s">
        <v>105</v>
      </c>
      <c r="B3" s="1">
        <v>3</v>
      </c>
      <c r="C3" s="1">
        <v>7</v>
      </c>
      <c r="D3" s="1">
        <v>0.01</v>
      </c>
      <c r="E3" s="1">
        <v>0.12</v>
      </c>
    </row>
    <row r="4" spans="1:5" x14ac:dyDescent="0.3">
      <c r="A4" s="26" t="s">
        <v>106</v>
      </c>
      <c r="B4" s="1">
        <v>5</v>
      </c>
      <c r="C4" s="1">
        <v>10</v>
      </c>
      <c r="D4" s="1">
        <v>0.02</v>
      </c>
      <c r="E4" s="1">
        <v>0.3</v>
      </c>
    </row>
    <row r="5" spans="1:5" x14ac:dyDescent="0.3">
      <c r="A5" s="26" t="s">
        <v>107</v>
      </c>
      <c r="B5" s="1">
        <v>10</v>
      </c>
      <c r="C5" s="1">
        <v>25</v>
      </c>
      <c r="D5" s="1">
        <v>0.5</v>
      </c>
      <c r="E5" s="1">
        <v>1.2</v>
      </c>
    </row>
    <row r="6" spans="1:5" x14ac:dyDescent="0.3">
      <c r="A6" s="26" t="s">
        <v>108</v>
      </c>
      <c r="B6" s="1">
        <v>20</v>
      </c>
      <c r="C6" s="1">
        <v>35</v>
      </c>
      <c r="D6" s="1">
        <v>0.6</v>
      </c>
      <c r="E6" s="1">
        <v>1.2</v>
      </c>
    </row>
    <row r="7" spans="1:5" x14ac:dyDescent="0.3">
      <c r="A7" s="26" t="s">
        <v>109</v>
      </c>
      <c r="B7" s="1">
        <v>30</v>
      </c>
      <c r="C7" s="1">
        <v>60</v>
      </c>
      <c r="D7" s="1">
        <v>1.2</v>
      </c>
      <c r="E7" s="1">
        <v>2.4500000000000002</v>
      </c>
    </row>
    <row r="8" spans="1:5" x14ac:dyDescent="0.3">
      <c r="A8" s="26" t="s">
        <v>110</v>
      </c>
      <c r="B8" s="1">
        <v>2</v>
      </c>
      <c r="C8" s="1">
        <v>4</v>
      </c>
      <c r="D8" s="1">
        <v>5.0000000000000001E-3</v>
      </c>
      <c r="E8" s="1">
        <v>0.01</v>
      </c>
    </row>
    <row r="9" spans="1:5" x14ac:dyDescent="0.3">
      <c r="A9" s="26" t="s">
        <v>111</v>
      </c>
      <c r="B9" s="1">
        <v>2</v>
      </c>
      <c r="C9" s="1">
        <v>5</v>
      </c>
      <c r="D9" s="1">
        <v>0.05</v>
      </c>
      <c r="E9" s="1">
        <v>0.12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로봇 Tool 부하 선정</vt:lpstr>
      <vt:lpstr>무게,관성 계산</vt:lpstr>
      <vt:lpstr>로봇 스펙</vt:lpstr>
      <vt:lpstr>로봇 스펙 (SCARA)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정찬 이</cp:lastModifiedBy>
  <dcterms:created xsi:type="dcterms:W3CDTF">2026-01-06T11:40:59Z</dcterms:created>
  <dcterms:modified xsi:type="dcterms:W3CDTF">2026-04-13T02:09:01Z</dcterms:modified>
</cp:coreProperties>
</file>